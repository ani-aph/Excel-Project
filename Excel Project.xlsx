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4db4233140696987/Documents/Rinky 2026/"/>
    </mc:Choice>
  </mc:AlternateContent>
  <xr:revisionPtr revIDLastSave="0" documentId="8_{6AB175AB-FB53-467D-A218-9ACE741C8E2D}" xr6:coauthVersionLast="47" xr6:coauthVersionMax="47" xr10:uidLastSave="{00000000-0000-0000-0000-000000000000}"/>
  <bookViews>
    <workbookView xWindow="-110" yWindow="-110" windowWidth="19420" windowHeight="11500" firstSheet="7" activeTab="9" xr2:uid="{5AF5D4AF-D10E-435D-ABA8-B0D0494ED23E}"/>
  </bookViews>
  <sheets>
    <sheet name="Data" sheetId="1" r:id="rId1"/>
    <sheet name="KPI" sheetId="7" r:id="rId2"/>
    <sheet name="Rating" sheetId="9" r:id="rId3"/>
    <sheet name="Employee by Gender" sheetId="10" r:id="rId4"/>
    <sheet name="Education-wise Attrition" sheetId="12" r:id="rId5"/>
    <sheet name="Department-wise Attrition" sheetId="14" r:id="rId6"/>
    <sheet name="Attrition By Job Role" sheetId="13" r:id="rId7"/>
    <sheet name="Attrition By Age-Group" sheetId="15" r:id="rId8"/>
    <sheet name="Attrition By Marriage Status" sheetId="16" r:id="rId9"/>
    <sheet name="Dashboard" sheetId="8" r:id="rId10"/>
  </sheets>
  <definedNames>
    <definedName name="_xlchart.v1.0" hidden="1">'Attrition By Job Role'!$E$4:$E$12</definedName>
    <definedName name="_xlchart.v1.1" hidden="1">'Attrition By Job Role'!$F$3</definedName>
    <definedName name="_xlchart.v1.13" hidden="1">'Attrition By Job Role'!$E$4:$E$12</definedName>
    <definedName name="_xlchart.v1.14" hidden="1">'Attrition By Job Role'!$F$3</definedName>
    <definedName name="_xlchart.v1.15" hidden="1">'Attrition By Job Role'!$F$4:$F$12</definedName>
    <definedName name="_xlchart.v1.2" hidden="1">'Attrition By Job Role'!$F$4:$F$12</definedName>
    <definedName name="_xlchart.v2.10" hidden="1">'Attrition By Marriage Status'!$E$4:$E$6</definedName>
    <definedName name="_xlchart.v2.11" hidden="1">'Attrition By Marriage Status'!$D$4:$D$6</definedName>
    <definedName name="_xlchart.v2.12" hidden="1">'Attrition By Marriage Status'!$E$4:$E$6</definedName>
    <definedName name="_xlchart.v2.16" hidden="1">'Attrition By Marriage Status'!$D$4:$D$6</definedName>
    <definedName name="_xlchart.v2.17" hidden="1">'Attrition By Marriage Status'!$E$4:$E$6</definedName>
    <definedName name="_xlchart.v2.3" hidden="1">'Attrition By Marriage Status'!$D$4:$D$6</definedName>
    <definedName name="_xlchart.v2.4" hidden="1">'Attrition By Marriage Status'!$E$4:$E$6</definedName>
    <definedName name="_xlchart.v2.5" hidden="1">'Attrition By Marriage Status'!$D$4:$D$6</definedName>
    <definedName name="_xlchart.v2.6" hidden="1">'Attrition By Marriage Status'!$E$4:$E$6</definedName>
    <definedName name="_xlchart.v2.7" hidden="1">'Attrition By Marriage Status'!$D$4:$D$6</definedName>
    <definedName name="_xlchart.v2.8" hidden="1">'Attrition By Marriage Status'!$E$4:$E$6</definedName>
    <definedName name="_xlchart.v2.9" hidden="1">'Attrition By Marriage Status'!$D$4:$D$6</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B6" i="9"/>
  <c r="E6" i="14"/>
  <c r="A7" i="7"/>
  <c r="E4" i="14"/>
  <c r="F12" i="13"/>
  <c r="F11" i="13"/>
  <c r="F10" i="13"/>
  <c r="F9" i="13"/>
  <c r="F8" i="13"/>
  <c r="F7" i="13"/>
  <c r="F6" i="13"/>
  <c r="F5" i="13"/>
  <c r="F4" i="13"/>
  <c r="B12" i="10"/>
  <c r="B11" i="10"/>
  <c r="E5" i="16"/>
  <c r="E7" i="7"/>
  <c r="E6" i="16"/>
  <c r="D7" i="7"/>
  <c r="E4" i="16"/>
  <c r="C7" i="7"/>
  <c r="E5" i="14"/>
  <c r="B7" i="7"/>
  <c r="C11" i="10" l="1"/>
  <c r="C12" i="10"/>
  <c r="C6" i="9"/>
  <c r="B7" i="9"/>
  <c r="C7" i="9" s="1"/>
  <c r="F5" i="14"/>
  <c r="F4" i="14"/>
  <c r="F6" i="14"/>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<sst xmlns="http://schemas.openxmlformats.org/spreadsheetml/2006/main" count="19219" uniqueCount="1569">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</sst>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Tw Cen MT"/>
      <family val="2"/>
      <scheme val="minor"/>
    </font>
    <font>
      <sz val="12"/>
      <color theme="1"/>
      <name val="Tw Cen MT"/>
      <family val="2"/>
      <scheme val="minor"/>
    </font>
    <font>
      <b/>
      <sz val="12"/>
      <color theme="1"/>
      <name val="Tw Cen MT"/>
      <family val="2"/>
      <scheme val="minor"/>
    </font>
    <font>
      <sz val="12"/>
      <color theme="5" tint="0.39997558519241921"/>
      <name val="Tw Cen MT"/>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9" fontId="0" fillId="0" borderId="0" xfId="1" applyFon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0" borderId="0" xfId="0" applyNumberFormat="1"/>
    <xf numFmtId="0" fontId="0" fillId="3" borderId="0" xfId="0" applyFill="1"/>
    <xf numFmtId="0" fontId="3" fillId="3" borderId="0" xfId="0" applyFont="1" applyFill="1"/>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44791666666666"/>
          <c:y val="0"/>
          <c:w val="0.5078125"/>
          <c:h val="0.89861751152073732"/>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45357EF0-CB24-4225-966D-0B55730665F0}" type="CELLRANGE">
                      <a:rPr lang="en-US"/>
                      <a:pPr/>
                      <a:t>[CELLRANGE]</a:t>
                    </a:fld>
                    <a:r>
                      <a:rPr lang="en-US" baseline="0"/>
                      <a:t>, </a:t>
                    </a:r>
                    <a:fld id="{BBD458A3-C562-468D-90FC-DF80E07515E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A45D3763-A678-46A6-8298-852C4D87B95E}" type="CELLRANGE">
                      <a:rPr lang="en-US"/>
                      <a:pPr/>
                      <a:t>[CELLRANGE]</a:t>
                    </a:fld>
                    <a:r>
                      <a:rPr lang="en-US" baseline="0"/>
                      <a:t>, </a:t>
                    </a:r>
                    <a:fld id="{C1C2921C-7A69-48B5-AEE0-7ED2DA8322E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93D43AE8-06C4-4EEA-95BC-6ABFE6C2ADEC}" type="CELLRANGE">
                      <a:rPr lang="en-US"/>
                      <a:pPr/>
                      <a:t>[CELLRANGE]</a:t>
                    </a:fld>
                    <a:r>
                      <a:rPr lang="en-US" baseline="0"/>
                      <a:t>, </a:t>
                    </a:r>
                    <a:fld id="{29FDE4B7-784B-43BE-B6F6-424784DBD2E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Project.xlsx]Attrition By Age-Group!Attrition By Age-Group</c:name>
    <c:fmtId val="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219"/>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51701030624438"/>
          <c:y val="0.1035153004687147"/>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50-A140-8018-58D20CE322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50-A140-8018-58D20CE3226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45-5747-BFE6-B8866D7151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45-5747-BFE6-B8866D71515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pieChart>
        <c:varyColors val="1"/>
        <c:ser>
          <c:idx val="0"/>
          <c:order val="0"/>
          <c:explosion val="3"/>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7B93-CC4A-864B-7C38023302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93-CC4A-864B-7C380233025D}"/>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7B93-CC4A-864B-7C380233025D}"/>
              </c:ext>
            </c:extLst>
          </c:dPt>
          <c:dLbls>
            <c:dLbl>
              <c:idx val="0"/>
              <c:tx>
                <c:rich>
                  <a:bodyPr/>
                  <a:lstStyle/>
                  <a:p>
                    <a:fld id="{9D9271C2-02EE-433F-9763-E7B1D3C7A4C6}" type="CELLRANGE">
                      <a:rPr lang="en-US"/>
                      <a:pPr/>
                      <a:t>[CELLRANGE]</a:t>
                    </a:fld>
                    <a:r>
                      <a:rPr lang="en-US" baseline="0"/>
                      <a:t>, </a:t>
                    </a:r>
                    <a:fld id="{01A2A412-93F8-4FBB-B59F-4D9584E44525}"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77E53D16-3A6C-4906-B686-C09C9CE5FFAE}" type="CELLRANGE">
                      <a:rPr lang="en-US"/>
                      <a:pPr/>
                      <a:t>[CELLRANGE]</a:t>
                    </a:fld>
                    <a:r>
                      <a:rPr lang="en-US" baseline="0"/>
                      <a:t>, </a:t>
                    </a:r>
                    <a:fld id="{C1340650-BA2C-4151-AEF3-80A4A6A4F19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708F652F-5FC9-4087-8426-C8FF40C2D079}" type="CELLRANGE">
                      <a:rPr lang="en-US"/>
                      <a:pPr/>
                      <a:t>[CELLRANGE]</a:t>
                    </a:fld>
                    <a:r>
                      <a:rPr lang="en-US" baseline="0"/>
                      <a:t>, </a:t>
                    </a:r>
                    <a:fld id="{EE648F3A-3196-44D5-8482-824194BA55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Project.xlsx]Attrition By Age-Group!Attrition By Age-Group</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219"/>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txData>
          <cx:v>marital status</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Tw Cen MT" panose="020B0602020104020603"/>
            </a:rPr>
            <a:t>marital status</a:t>
          </a:r>
        </a:p>
      </cx:txPr>
    </cx:title>
    <cx:plotArea>
      <cx:plotAreaRegion>
        <cx:series layoutId="funnel" uniqueId="{15126953-9A30-F845-82EC-D421AFC96F7C}">
          <cx:dataId val="0"/>
        </cx:series>
      </cx:plotAreaRegion>
      <cx:axis id="0">
        <cx:catScaling gapWidth="0.200000003"/>
        <cx:titl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chartData>
  <cx:chart>
    <cx:plotArea>
      <cx:plotAreaRegion>
        <cx:series layoutId="treemap" uniqueId="{E7725989-8B5B-D341-8478-E6A4692692CA}">
          <cx:tx>
            <cx:txData>
              <cx:f>_xlchart.v1.14</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noFill/>
            <a:ln>
              <a:noFill/>
            </a:ln>
          </cx:spPr>
        </cx:plotSurface>
        <cx:series layoutId="funnel" uniqueId="{15126953-9A30-F845-82EC-D421AFC96F7C}">
          <cx:dataId val="0"/>
        </cx:series>
      </cx:plotAreaRegion>
      <cx:axis id="0">
        <cx:catScaling gapWidth="0.200000003"/>
        <cx:title/>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5</xdr:col>
      <xdr:colOff>558800</xdr:colOff>
      <xdr:row>4</xdr:row>
      <xdr:rowOff>88900</xdr:rowOff>
    </xdr:from>
    <xdr:to>
      <xdr:col>8</xdr:col>
      <xdr:colOff>342900</xdr:colOff>
      <xdr:row>9</xdr:row>
      <xdr:rowOff>88900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54950" y="876300"/>
              <a:ext cx="24511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69850</xdr:colOff>
      <xdr:row>1</xdr:row>
      <xdr:rowOff>120650</xdr:rowOff>
    </xdr:from>
    <xdr:to>
      <xdr:col>10</xdr:col>
      <xdr:colOff>69850</xdr:colOff>
      <xdr:row>16</xdr:row>
      <xdr:rowOff>146050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501650</xdr:colOff>
      <xdr:row>2</xdr:row>
      <xdr:rowOff>12700</xdr:rowOff>
    </xdr:from>
    <xdr:to>
      <xdr:col>12</xdr:col>
      <xdr:colOff>514350</xdr:colOff>
      <xdr:row>7</xdr:row>
      <xdr:rowOff>12700</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445750" y="406400"/>
              <a:ext cx="17907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387350</xdr:colOff>
      <xdr:row>7</xdr:row>
      <xdr:rowOff>177800</xdr:rowOff>
    </xdr:from>
    <xdr:to>
      <xdr:col>12</xdr:col>
      <xdr:colOff>412750</xdr:colOff>
      <xdr:row>20</xdr:row>
      <xdr:rowOff>161922</xdr:rowOff>
    </xdr:to>
    <mc:AlternateContent xmlns:mc="http://schemas.openxmlformats.org/markup-compatibility/2006">
      <mc:Choice xmlns:a14="http://schemas.microsoft.com/office/drawing/2010/main"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0331450" y="1555750"/>
              <a:ext cx="1803400" cy="2543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114300</xdr:colOff>
      <xdr:row>2</xdr:row>
      <xdr:rowOff>88900</xdr:rowOff>
    </xdr:from>
    <xdr:to>
      <xdr:col>31</xdr:col>
      <xdr:colOff>12700</xdr:colOff>
      <xdr:row>7</xdr:row>
      <xdr:rowOff>114300</xdr:rowOff>
    </xdr:to>
    <mc:AlternateContent xmlns:mc="http://schemas.openxmlformats.org/markup-compatibility/2006">
      <mc:Choice xmlns:a14="http://schemas.microsoft.com/office/drawing/2010/main"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705850" y="482600"/>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133350</xdr:colOff>
      <xdr:row>7</xdr:row>
      <xdr:rowOff>31750</xdr:rowOff>
    </xdr:from>
    <xdr:to>
      <xdr:col>36</xdr:col>
      <xdr:colOff>31750</xdr:colOff>
      <xdr:row>20</xdr:row>
      <xdr:rowOff>15872</xdr:rowOff>
    </xdr:to>
    <mc:AlternateContent xmlns:mc="http://schemas.openxmlformats.org/markup-compatibility/2006">
      <mc:Choice xmlns:a14="http://schemas.microsoft.com/office/drawing/2010/main"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9931400" y="1409700"/>
              <a:ext cx="1828800" cy="2543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584200</xdr:colOff>
      <xdr:row>1</xdr:row>
      <xdr:rowOff>114300</xdr:rowOff>
    </xdr:from>
    <xdr:to>
      <xdr:col>10</xdr:col>
      <xdr:colOff>203200</xdr:colOff>
      <xdr:row>20</xdr:row>
      <xdr:rowOff>177800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939800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133350</xdr:colOff>
      <xdr:row>7</xdr:row>
      <xdr:rowOff>31750</xdr:rowOff>
    </xdr:from>
    <xdr:to>
      <xdr:col>8</xdr:col>
      <xdr:colOff>539750</xdr:colOff>
      <xdr:row>20</xdr:row>
      <xdr:rowOff>133350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165100</xdr:colOff>
      <xdr:row>13</xdr:row>
      <xdr:rowOff>158750</xdr:rowOff>
    </xdr:from>
    <xdr:to>
      <xdr:col>8</xdr:col>
      <xdr:colOff>762000</xdr:colOff>
      <xdr:row>33</xdr:row>
      <xdr:rowOff>101600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5100" y="2717800"/>
              <a:ext cx="9982200" cy="3879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654050</xdr:colOff>
      <xdr:row>1</xdr:row>
      <xdr:rowOff>133350</xdr:rowOff>
    </xdr:from>
    <xdr:to>
      <xdr:col>7</xdr:col>
      <xdr:colOff>438150</xdr:colOff>
      <xdr:row>15</xdr:row>
      <xdr:rowOff>38100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641350</xdr:colOff>
      <xdr:row>2</xdr:row>
      <xdr:rowOff>76200</xdr:rowOff>
    </xdr:from>
    <xdr:to>
      <xdr:col>11</xdr:col>
      <xdr:colOff>260350</xdr:colOff>
      <xdr:row>15</xdr:row>
      <xdr:rowOff>177800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26150" y="469900"/>
              <a:ext cx="4495800" cy="2660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679450</xdr:colOff>
      <xdr:row>7</xdr:row>
      <xdr:rowOff>88900</xdr:rowOff>
    </xdr:from>
    <xdr:to>
      <xdr:col>4</xdr:col>
      <xdr:colOff>552450</xdr:colOff>
      <xdr:row>15</xdr:row>
      <xdr:rowOff>19050</xdr:rowOff>
    </xdr:to>
    <mc:AlternateContent xmlns:mc="http://schemas.openxmlformats.org/markup-compatibility/2006">
      <mc:Choice xmlns:a14="http://schemas.microsoft.com/office/drawing/2010/main"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663950" y="1466850"/>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101600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584200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5</xdr:col>
      <xdr:colOff>181665</xdr:colOff>
      <xdr:row>0</xdr:row>
      <xdr:rowOff>82826</xdr:rowOff>
    </xdr:from>
    <xdr:to>
      <xdr:col>17</xdr:col>
      <xdr:colOff>67365</xdr:colOff>
      <xdr:row>4</xdr:row>
      <xdr:rowOff>159026</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4253948" y="82826"/>
          <a:ext cx="9659178" cy="849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latin typeface="Times New Roman" panose="02020603050405020304" pitchFamily="18" charset="0"/>
              <a:cs typeface="Times New Roman" panose="02020603050405020304" pitchFamily="18" charset="0"/>
            </a:rPr>
            <a:t>HR ANALYTICS DASHBOARD</a:t>
          </a:r>
        </a:p>
      </xdr:txBody>
    </xdr:sp>
    <xdr:clientData/>
  </xdr:twoCellAnchor>
  <xdr:twoCellAnchor>
    <xdr:from>
      <xdr:col>1</xdr:col>
      <xdr:colOff>414130</xdr:colOff>
      <xdr:row>43</xdr:row>
      <xdr:rowOff>53009</xdr:rowOff>
    </xdr:from>
    <xdr:to>
      <xdr:col>8</xdr:col>
      <xdr:colOff>312531</xdr:colOff>
      <xdr:row>47</xdr:row>
      <xdr:rowOff>116508</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228587" y="8363226"/>
          <a:ext cx="5599596" cy="83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7</xdr:col>
      <xdr:colOff>304800</xdr:colOff>
      <xdr:row>43</xdr:row>
      <xdr:rowOff>176144</xdr:rowOff>
    </xdr:from>
    <xdr:to>
      <xdr:col>10</xdr:col>
      <xdr:colOff>579783</xdr:colOff>
      <xdr:row>48</xdr:row>
      <xdr:rowOff>46382</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688561</xdr:colOff>
      <xdr:row>45</xdr:row>
      <xdr:rowOff>73991</xdr:rowOff>
    </xdr:from>
    <xdr:to>
      <xdr:col>9</xdr:col>
      <xdr:colOff>305904</xdr:colOff>
      <xdr:row>46</xdr:row>
      <xdr:rowOff>178351</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7204213" y="8770730"/>
          <a:ext cx="431800" cy="297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527326</xdr:colOff>
      <xdr:row>11</xdr:row>
      <xdr:rowOff>109883</xdr:rowOff>
    </xdr:from>
    <xdr:to>
      <xdr:col>6</xdr:col>
      <xdr:colOff>159026</xdr:colOff>
      <xdr:row>13</xdr:row>
      <xdr:rowOff>59083</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527326" y="2235753"/>
          <a:ext cx="4518439" cy="335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552174</xdr:colOff>
      <xdr:row>13</xdr:row>
      <xdr:rowOff>139700</xdr:rowOff>
    </xdr:from>
    <xdr:to>
      <xdr:col>5</xdr:col>
      <xdr:colOff>863048</xdr:colOff>
      <xdr:row>17</xdr:row>
      <xdr:rowOff>96630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457753</xdr:colOff>
      <xdr:row>17</xdr:row>
      <xdr:rowOff>176695</xdr:rowOff>
    </xdr:from>
    <xdr:to>
      <xdr:col>3</xdr:col>
      <xdr:colOff>538369</xdr:colOff>
      <xdr:row>28</xdr:row>
      <xdr:rowOff>82825</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562113</xdr:colOff>
      <xdr:row>17</xdr:row>
      <xdr:rowOff>138043</xdr:rowOff>
    </xdr:from>
    <xdr:to>
      <xdr:col>6</xdr:col>
      <xdr:colOff>289891</xdr:colOff>
      <xdr:row>28</xdr:row>
      <xdr:rowOff>138043</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165652</xdr:colOff>
      <xdr:row>12</xdr:row>
      <xdr:rowOff>119270</xdr:rowOff>
    </xdr:from>
    <xdr:to>
      <xdr:col>14</xdr:col>
      <xdr:colOff>51352</xdr:colOff>
      <xdr:row>14</xdr:row>
      <xdr:rowOff>68469</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6388652" y="2557670"/>
          <a:ext cx="6108700"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7</xdr:col>
      <xdr:colOff>124239</xdr:colOff>
      <xdr:row>15</xdr:row>
      <xdr:rowOff>69022</xdr:rowOff>
    </xdr:from>
    <xdr:to>
      <xdr:col>13</xdr:col>
      <xdr:colOff>538370</xdr:colOff>
      <xdr:row>27</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297621</xdr:colOff>
      <xdr:row>28</xdr:row>
      <xdr:rowOff>49145</xdr:rowOff>
    </xdr:from>
    <xdr:to>
      <xdr:col>18</xdr:col>
      <xdr:colOff>500821</xdr:colOff>
      <xdr:row>29</xdr:row>
      <xdr:rowOff>166205</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0965621" y="5738745"/>
          <a:ext cx="5537200" cy="320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12</xdr:col>
      <xdr:colOff>250686</xdr:colOff>
      <xdr:row>30</xdr:row>
      <xdr:rowOff>4970</xdr:rowOff>
    </xdr:from>
    <xdr:to>
      <xdr:col>19</xdr:col>
      <xdr:colOff>199886</xdr:colOff>
      <xdr:row>42</xdr:row>
      <xdr:rowOff>172831</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852425" y="5802796"/>
              <a:ext cx="6133548" cy="24869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84482</xdr:colOff>
      <xdr:row>29</xdr:row>
      <xdr:rowOff>2761</xdr:rowOff>
    </xdr:from>
    <xdr:to>
      <xdr:col>6</xdr:col>
      <xdr:colOff>517939</xdr:colOff>
      <xdr:row>30</xdr:row>
      <xdr:rowOff>145221</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898939" y="5607326"/>
          <a:ext cx="4505739" cy="335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553278</xdr:colOff>
      <xdr:row>31</xdr:row>
      <xdr:rowOff>75096</xdr:rowOff>
    </xdr:from>
    <xdr:to>
      <xdr:col>6</xdr:col>
      <xdr:colOff>515178</xdr:colOff>
      <xdr:row>43</xdr:row>
      <xdr:rowOff>75097</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675310</xdr:colOff>
      <xdr:row>28</xdr:row>
      <xdr:rowOff>193814</xdr:rowOff>
    </xdr:from>
    <xdr:to>
      <xdr:col>11</xdr:col>
      <xdr:colOff>421310</xdr:colOff>
      <xdr:row>30</xdr:row>
      <xdr:rowOff>181113</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6009310" y="5883414"/>
          <a:ext cx="4191000" cy="39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600765</xdr:colOff>
      <xdr:row>31</xdr:row>
      <xdr:rowOff>19879</xdr:rowOff>
    </xdr:from>
    <xdr:to>
      <xdr:col>12</xdr:col>
      <xdr:colOff>99943</xdr:colOff>
      <xdr:row>43</xdr:row>
      <xdr:rowOff>32580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106017</xdr:colOff>
      <xdr:row>12</xdr:row>
      <xdr:rowOff>82827</xdr:rowOff>
    </xdr:from>
    <xdr:to>
      <xdr:col>22</xdr:col>
      <xdr:colOff>414130</xdr:colOff>
      <xdr:row>14</xdr:row>
      <xdr:rowOff>113196</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4766234" y="2401957"/>
          <a:ext cx="3565939" cy="416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17</xdr:col>
      <xdr:colOff>379896</xdr:colOff>
      <xdr:row>15</xdr:row>
      <xdr:rowOff>73991</xdr:rowOff>
    </xdr:from>
    <xdr:to>
      <xdr:col>21</xdr:col>
      <xdr:colOff>710096</xdr:colOff>
      <xdr:row>27</xdr:row>
      <xdr:rowOff>61292</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225657" y="2972904"/>
              <a:ext cx="3588026" cy="23064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193260</xdr:colOff>
      <xdr:row>28</xdr:row>
      <xdr:rowOff>69022</xdr:rowOff>
    </xdr:from>
    <xdr:to>
      <xdr:col>22</xdr:col>
      <xdr:colOff>207065</xdr:colOff>
      <xdr:row>42</xdr:row>
      <xdr:rowOff>73992</xdr:rowOff>
    </xdr:to>
    <mc:AlternateContent xmlns:mc="http://schemas.openxmlformats.org/markup-compatibility/2006">
      <mc:Choice xmlns:a14="http://schemas.microsoft.com/office/drawing/2010/main"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7084260" y="5758622"/>
              <a:ext cx="2680805" cy="2849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414131</xdr:colOff>
      <xdr:row>14</xdr:row>
      <xdr:rowOff>82825</xdr:rowOff>
    </xdr:from>
    <xdr:to>
      <xdr:col>16</xdr:col>
      <xdr:colOff>579784</xdr:colOff>
      <xdr:row>25</xdr:row>
      <xdr:rowOff>96630</xdr:rowOff>
    </xdr:to>
    <mc:AlternateContent xmlns:mc="http://schemas.openxmlformats.org/markup-compatibility/2006">
      <mc:Choice xmlns:a14="http://schemas.microsoft.com/office/drawing/2010/main"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2860131" y="2927625"/>
              <a:ext cx="1943653" cy="2249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D7" sqref="D7"/>
    </sheetView>
  </sheetViews>
  <sheetFormatPr defaultColWidth="8.921875" defaultRowHeight="15.5" x14ac:dyDescent="0.35"/>
  <cols>
    <col min="1" max="1" width="10.61328125" customWidth="1"/>
    <col min="2" max="2" width="16.61328125" customWidth="1"/>
    <col min="3" max="3" width="14.3046875" customWidth="1"/>
    <col min="4" max="4" width="17.921875" customWidth="1"/>
    <col min="5" max="5" width="13.765625" customWidth="1"/>
    <col min="6" max="6" width="16.3046875" customWidth="1"/>
    <col min="7" max="7" width="11.07421875" customWidth="1"/>
    <col min="8" max="8" width="19.3046875" customWidth="1"/>
    <col min="9" max="9" width="9.765625" customWidth="1"/>
    <col min="10" max="10" width="23.3046875" customWidth="1"/>
    <col min="11" max="11" width="15.4609375" customWidth="1"/>
    <col min="12" max="12" width="12.4609375" customWidth="1"/>
    <col min="13" max="13" width="9.765625" customWidth="1"/>
    <col min="14" max="14" width="24.3046875" customWidth="1"/>
    <col min="15" max="15" width="5.4609375" customWidth="1"/>
    <col min="16" max="16" width="4.765625" customWidth="1"/>
    <col min="17" max="17" width="6.921875" customWidth="1"/>
    <col min="18" max="18" width="18.4609375" customWidth="1"/>
    <col min="19" max="19" width="19.4609375" customWidth="1"/>
    <col min="20" max="20" width="17.3046875" customWidth="1"/>
    <col min="21" max="21" width="21.4609375" customWidth="1"/>
    <col min="22" max="22" width="12.4609375" customWidth="1"/>
    <col min="23" max="23" width="21.4609375" customWidth="1"/>
    <col min="24" max="24" width="16.4609375" customWidth="1"/>
    <col min="25" max="25" width="17.07421875" customWidth="1"/>
    <col min="26" max="26" width="24.765625" customWidth="1"/>
    <col min="27" max="27" width="13.61328125" customWidth="1"/>
    <col min="28" max="28" width="17.3046875" customWidth="1"/>
    <col min="29" max="29" width="11.3046875" customWidth="1"/>
    <col min="30" max="30" width="16.61328125" customWidth="1"/>
    <col min="31" max="31" width="17.07421875" customWidth="1"/>
    <col min="32" max="32" width="14.921875" customWidth="1"/>
    <col min="33" max="33" width="24.61328125" customWidth="1"/>
    <col min="34" max="34" width="20.07421875" customWidth="1"/>
    <col min="35" max="35" width="20.3046875" customWidth="1"/>
    <col min="36" max="36" width="24.4609375" customWidth="1"/>
    <col min="37" max="37" width="16.4609375" customWidth="1"/>
    <col min="38" max="38" width="19.3046875" customWidth="1"/>
    <col min="39" max="39" width="20.61328125" customWidth="1"/>
    <col min="40" max="41" width="18.921875" customWidth="1"/>
    <col min="42" max="42" width="21.07421875" customWidth="1"/>
    <col min="43" max="43" width="26.3046875" customWidth="1"/>
    <col min="44" max="44" width="24.765625"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E7" sqref="E7"/>
    </sheetView>
  </sheetViews>
  <sheetFormatPr defaultColWidth="10.765625" defaultRowHeight="15.5" x14ac:dyDescent="0.35"/>
  <cols>
    <col min="1" max="1" width="24.3046875" customWidth="1"/>
    <col min="2" max="2" width="22.4609375" customWidth="1"/>
    <col min="3" max="3" width="13.53515625" customWidth="1"/>
    <col min="4" max="4" width="15.61328125" customWidth="1"/>
    <col min="5" max="5" width="12.4609375" customWidth="1"/>
  </cols>
  <sheetData>
    <row r="3" spans="1:5" x14ac:dyDescent="0.35">
      <c r="A3" t="s">
        <v>1554</v>
      </c>
      <c r="B3" t="s">
        <v>1555</v>
      </c>
      <c r="C3" t="s">
        <v>1556</v>
      </c>
    </row>
    <row r="4" spans="1:5" x14ac:dyDescent="0.35">
      <c r="A4" s="7">
        <v>1470</v>
      </c>
      <c r="B4" s="7">
        <v>237</v>
      </c>
      <c r="C4" s="7">
        <v>36.923809523809524</v>
      </c>
    </row>
    <row r="6" spans="1:5" x14ac:dyDescent="0.35">
      <c r="A6" s="6" t="s">
        <v>1557</v>
      </c>
      <c r="B6" s="6" t="s">
        <v>1558</v>
      </c>
      <c r="C6" s="6" t="s">
        <v>1559</v>
      </c>
      <c r="D6" s="6" t="s">
        <v>1560</v>
      </c>
      <c r="E6" s="6" t="s">
        <v>1561</v>
      </c>
    </row>
    <row r="7" spans="1:5" x14ac:dyDescent="0.35">
      <c r="A7">
        <f>GETPIVOTDATA("Count of Employee Number",$A$3)</f>
        <v>1470</v>
      </c>
      <c r="B7">
        <f>GETPIVOTDATA("Sum of CF_attrition count",$A$3)</f>
        <v>237</v>
      </c>
      <c r="C7" s="3">
        <f>GETPIVOTDATA("Average of Age",$A$3)</f>
        <v>36.923809523809524</v>
      </c>
      <c r="D7">
        <f>GETPIVOTDATA("Count of Employee Number",$A$3)-GETPIVOTDATA("Sum of CF_attrition count",$A$3)</f>
        <v>1233</v>
      </c>
      <c r="E7" s="2">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13" sqref="C13"/>
    </sheetView>
  </sheetViews>
  <sheetFormatPr defaultColWidth="10.765625" defaultRowHeight="15.5" x14ac:dyDescent="0.35"/>
  <cols>
    <col min="1" max="1" width="23.53515625" customWidth="1"/>
  </cols>
  <sheetData>
    <row r="3" spans="1:3" x14ac:dyDescent="0.35">
      <c r="A3" t="s">
        <v>1562</v>
      </c>
    </row>
    <row r="4" spans="1:3" x14ac:dyDescent="0.35">
      <c r="A4" s="3">
        <v>2.6265306122448981</v>
      </c>
    </row>
    <row r="6" spans="1:3" x14ac:dyDescent="0.35">
      <c r="A6" t="s">
        <v>1563</v>
      </c>
      <c r="B6" s="3">
        <f>GETPIVOTDATA("Job Satisfaction",Rating!$A$3)</f>
        <v>2.6265306122448981</v>
      </c>
      <c r="C6" s="2">
        <f>B6/4</f>
        <v>0.65663265306122454</v>
      </c>
    </row>
    <row r="7" spans="1:3" x14ac:dyDescent="0.35">
      <c r="A7" s="3" t="s">
        <v>1564</v>
      </c>
      <c r="B7" s="3">
        <f>4-B6</f>
        <v>1.3734693877551019</v>
      </c>
      <c r="C7" s="2">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topLeftCell="A12" zoomScaleNormal="100" workbookViewId="0">
      <selection activeCell="C11" sqref="C11"/>
    </sheetView>
  </sheetViews>
  <sheetFormatPr defaultColWidth="10.765625" defaultRowHeight="15.5" x14ac:dyDescent="0.35"/>
  <cols>
    <col min="1" max="1" width="12.3828125" customWidth="1"/>
    <col min="2" max="2" width="24.3046875" customWidth="1"/>
    <col min="3" max="3" width="12.3046875" customWidth="1"/>
    <col min="4" max="4" width="2.3046875" customWidth="1"/>
    <col min="5" max="7" width="2" bestFit="1" customWidth="1"/>
    <col min="8" max="77" width="2.921875" bestFit="1" customWidth="1"/>
    <col min="78" max="718" width="3.84375" bestFit="1" customWidth="1"/>
    <col min="719" max="1471" width="4.765625" bestFit="1" customWidth="1"/>
  </cols>
  <sheetData>
    <row r="3" spans="1:3" x14ac:dyDescent="0.35">
      <c r="A3" s="4" t="s">
        <v>1565</v>
      </c>
      <c r="B3" t="s">
        <v>1554</v>
      </c>
    </row>
    <row r="4" spans="1:3" x14ac:dyDescent="0.35">
      <c r="A4" s="5" t="s">
        <v>51</v>
      </c>
      <c r="B4" s="7">
        <v>588</v>
      </c>
    </row>
    <row r="5" spans="1:3" x14ac:dyDescent="0.35">
      <c r="A5" s="5" t="s">
        <v>62</v>
      </c>
      <c r="B5" s="7">
        <v>882</v>
      </c>
    </row>
    <row r="6" spans="1:3" x14ac:dyDescent="0.35">
      <c r="A6" s="5" t="s">
        <v>1566</v>
      </c>
      <c r="B6" s="7">
        <v>1470</v>
      </c>
    </row>
    <row r="11" spans="1:3" x14ac:dyDescent="0.35">
      <c r="A11" t="s">
        <v>51</v>
      </c>
      <c r="B11">
        <f>IFERROR(GETPIVOTDATA("Employee Number",$A$3,"Gender","Female"),0)</f>
        <v>588</v>
      </c>
      <c r="C11" s="1">
        <f>IFERROR(B11/($B$11+$B$12),0)</f>
        <v>0.4</v>
      </c>
    </row>
    <row r="12" spans="1:3" x14ac:dyDescent="0.35">
      <c r="A12" t="s">
        <v>62</v>
      </c>
      <c r="B12">
        <f>IFERROR(GETPIVOTDATA("Employee Number",$A$3,"Gender","Male"),0)</f>
        <v>882</v>
      </c>
      <c r="C12" s="1">
        <f>IFERROR(B12/($B$11+$B$12),0)</f>
        <v>0.6</v>
      </c>
    </row>
    <row r="13" spans="1:3" x14ac:dyDescent="0.35">
      <c r="C13" s="2"/>
    </row>
    <row r="16" spans="1:3" x14ac:dyDescent="0.35">
      <c r="C16" s="2"/>
    </row>
    <row r="17" spans="3:3" x14ac:dyDescent="0.35">
      <c r="C17"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4" workbookViewId="0">
      <selection activeCell="N32" sqref="N32"/>
    </sheetView>
  </sheetViews>
  <sheetFormatPr defaultColWidth="10.765625" defaultRowHeight="15.5" x14ac:dyDescent="0.35"/>
  <cols>
    <col min="1" max="1" width="15.69140625" customWidth="1"/>
    <col min="2" max="2" width="22.4609375" customWidth="1"/>
    <col min="3" max="3" width="22.61328125" customWidth="1"/>
  </cols>
  <sheetData>
    <row r="3" spans="1:2" x14ac:dyDescent="0.35">
      <c r="A3" s="4" t="s">
        <v>1565</v>
      </c>
      <c r="B3" t="s">
        <v>1555</v>
      </c>
    </row>
    <row r="4" spans="1:2" x14ac:dyDescent="0.35">
      <c r="A4" s="5" t="s">
        <v>134</v>
      </c>
      <c r="B4" s="7">
        <v>5</v>
      </c>
    </row>
    <row r="5" spans="1:2" x14ac:dyDescent="0.35">
      <c r="A5" s="5" t="s">
        <v>65</v>
      </c>
      <c r="B5" s="7">
        <v>31</v>
      </c>
    </row>
    <row r="6" spans="1:2" x14ac:dyDescent="0.35">
      <c r="A6" s="5" t="s">
        <v>55</v>
      </c>
      <c r="B6" s="7">
        <v>44</v>
      </c>
    </row>
    <row r="7" spans="1:2" x14ac:dyDescent="0.35">
      <c r="A7" s="5" t="s">
        <v>71</v>
      </c>
      <c r="B7" s="7">
        <v>58</v>
      </c>
    </row>
    <row r="8" spans="1:2" x14ac:dyDescent="0.35">
      <c r="A8" s="5" t="s">
        <v>77</v>
      </c>
      <c r="B8" s="7">
        <v>99</v>
      </c>
    </row>
    <row r="9" spans="1:2" x14ac:dyDescent="0.35">
      <c r="A9" s="5" t="s">
        <v>1566</v>
      </c>
      <c r="B9" s="7">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K8" sqref="K8"/>
    </sheetView>
  </sheetViews>
  <sheetFormatPr defaultColWidth="10.765625" defaultRowHeight="15.5" x14ac:dyDescent="0.35"/>
  <cols>
    <col min="1" max="1" width="12.3828125" customWidth="1"/>
    <col min="2" max="2" width="22.4609375" customWidth="1"/>
    <col min="4" max="4" width="11.07421875" customWidth="1"/>
  </cols>
  <sheetData>
    <row r="3" spans="1:6" x14ac:dyDescent="0.35">
      <c r="A3" s="4" t="s">
        <v>1565</v>
      </c>
      <c r="B3" t="s">
        <v>1555</v>
      </c>
      <c r="D3" t="s">
        <v>4</v>
      </c>
      <c r="E3" t="s">
        <v>0</v>
      </c>
      <c r="F3" t="s">
        <v>1568</v>
      </c>
    </row>
    <row r="4" spans="1:6" x14ac:dyDescent="0.35">
      <c r="A4" s="5" t="s">
        <v>161</v>
      </c>
      <c r="B4" s="7">
        <v>12</v>
      </c>
      <c r="D4" t="str">
        <f>A4</f>
        <v>HR</v>
      </c>
      <c r="E4">
        <f>GETPIVOTDATA("CF_attrition count",$A$3,"Department",A4)</f>
        <v>12</v>
      </c>
      <c r="F4" s="2">
        <f>E4/GETPIVOTDATA("CF_attrition count",$A$3)</f>
        <v>5.0632911392405063E-2</v>
      </c>
    </row>
    <row r="5" spans="1:6" x14ac:dyDescent="0.35">
      <c r="A5" s="5" t="s">
        <v>60</v>
      </c>
      <c r="B5" s="7">
        <v>133</v>
      </c>
      <c r="D5" t="str">
        <f t="shared" ref="D5:D6" si="0">A5</f>
        <v>R&amp;D</v>
      </c>
      <c r="E5">
        <f t="shared" ref="E5:E6" si="1">GETPIVOTDATA("CF_attrition count",$A$3,"Department",A5)</f>
        <v>133</v>
      </c>
      <c r="F5" s="2">
        <f>E5/GETPIVOTDATA("CF_attrition count",$A$3)</f>
        <v>0.56118143459915615</v>
      </c>
    </row>
    <row r="6" spans="1:6" x14ac:dyDescent="0.35">
      <c r="A6" s="5" t="s">
        <v>48</v>
      </c>
      <c r="B6" s="7">
        <v>92</v>
      </c>
      <c r="D6" t="str">
        <f t="shared" si="0"/>
        <v>Sales</v>
      </c>
      <c r="E6">
        <f t="shared" si="1"/>
        <v>92</v>
      </c>
      <c r="F6" s="2">
        <f>E6/GETPIVOTDATA("CF_attrition count",$A$3)</f>
        <v>0.3881856540084388</v>
      </c>
    </row>
    <row r="7" spans="1:6" x14ac:dyDescent="0.35">
      <c r="A7" s="5" t="s">
        <v>1566</v>
      </c>
      <c r="B7" s="7">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topLeftCell="A18" workbookViewId="0">
      <selection activeCell="K26" sqref="K26"/>
    </sheetView>
  </sheetViews>
  <sheetFormatPr defaultColWidth="10.765625" defaultRowHeight="15.5" x14ac:dyDescent="0.35"/>
  <cols>
    <col min="1" max="1" width="22.921875" customWidth="1"/>
    <col min="2" max="2" width="23.765625" customWidth="1"/>
    <col min="5" max="5" width="23.3046875" customWidth="1"/>
  </cols>
  <sheetData>
    <row r="3" spans="1:6" x14ac:dyDescent="0.35">
      <c r="A3" s="4" t="s">
        <v>1565</v>
      </c>
      <c r="B3" t="s">
        <v>1567</v>
      </c>
      <c r="E3" t="s">
        <v>9</v>
      </c>
      <c r="F3" t="s">
        <v>0</v>
      </c>
    </row>
    <row r="4" spans="1:6" x14ac:dyDescent="0.35">
      <c r="A4" s="5" t="s">
        <v>83</v>
      </c>
      <c r="B4" s="7">
        <v>131</v>
      </c>
      <c r="E4" t="str">
        <f>A4</f>
        <v>Healthcare Representative</v>
      </c>
      <c r="F4">
        <f>GETPIVOTDATA("CF_attrition count",$A$3,"Job Role","Healthcare Representative")</f>
        <v>131</v>
      </c>
    </row>
    <row r="5" spans="1:6" x14ac:dyDescent="0.35">
      <c r="A5" s="5" t="s">
        <v>163</v>
      </c>
      <c r="B5" s="7">
        <v>52</v>
      </c>
      <c r="E5" t="str">
        <f t="shared" ref="E5:E12" si="0">A5</f>
        <v>Human Resources</v>
      </c>
      <c r="F5">
        <f>GETPIVOTDATA("CF_attrition count",$A$3,"Job Role","Human Resources")</f>
        <v>52</v>
      </c>
    </row>
    <row r="6" spans="1:6" x14ac:dyDescent="0.35">
      <c r="A6" s="5" t="s">
        <v>68</v>
      </c>
      <c r="B6" s="7">
        <v>259</v>
      </c>
      <c r="E6" t="str">
        <f t="shared" si="0"/>
        <v>Laboratory Technician</v>
      </c>
      <c r="F6">
        <f>GETPIVOTDATA("CF_attrition count",$A$3,"Job Role","Laboratory Technician")</f>
        <v>259</v>
      </c>
    </row>
    <row r="7" spans="1:6" x14ac:dyDescent="0.35">
      <c r="A7" s="5" t="s">
        <v>95</v>
      </c>
      <c r="B7" s="7">
        <v>102</v>
      </c>
      <c r="E7" t="str">
        <f t="shared" si="0"/>
        <v>Manager</v>
      </c>
      <c r="F7">
        <f>GETPIVOTDATA("CF_attrition count",$A$3,"Job Role","Manager")</f>
        <v>102</v>
      </c>
    </row>
    <row r="8" spans="1:6" x14ac:dyDescent="0.35">
      <c r="A8" s="5" t="s">
        <v>81</v>
      </c>
      <c r="B8" s="7">
        <v>145</v>
      </c>
      <c r="E8" t="str">
        <f t="shared" si="0"/>
        <v>Manufacturing Director</v>
      </c>
      <c r="F8">
        <f>GETPIVOTDATA("CF_attrition count",$A$3,"Job Role","Manufacturing Director")</f>
        <v>145</v>
      </c>
    </row>
    <row r="9" spans="1:6" x14ac:dyDescent="0.35">
      <c r="A9" s="5" t="s">
        <v>101</v>
      </c>
      <c r="B9" s="7">
        <v>80</v>
      </c>
      <c r="E9" t="str">
        <f t="shared" si="0"/>
        <v>Research Director</v>
      </c>
      <c r="F9">
        <f>GETPIVOTDATA("CF_attrition count",$A$3,"Job Role","Research Director")</f>
        <v>80</v>
      </c>
    </row>
    <row r="10" spans="1:6" x14ac:dyDescent="0.35">
      <c r="A10" s="5" t="s">
        <v>63</v>
      </c>
      <c r="B10" s="7">
        <v>292</v>
      </c>
      <c r="E10" t="str">
        <f t="shared" si="0"/>
        <v>Research Scientist</v>
      </c>
      <c r="F10">
        <f>GETPIVOTDATA("CF_attrition count",$A$3,"Job Role","Research Scientist")</f>
        <v>292</v>
      </c>
    </row>
    <row r="11" spans="1:6" x14ac:dyDescent="0.35">
      <c r="A11" s="5" t="s">
        <v>52</v>
      </c>
      <c r="B11" s="7">
        <v>326</v>
      </c>
      <c r="E11" t="str">
        <f t="shared" si="0"/>
        <v>Sales Executive</v>
      </c>
      <c r="F11">
        <f>GETPIVOTDATA("CF_attrition count",$A$3,"Job Role","Sales Executive")</f>
        <v>326</v>
      </c>
    </row>
    <row r="12" spans="1:6" x14ac:dyDescent="0.35">
      <c r="A12" s="5" t="s">
        <v>99</v>
      </c>
      <c r="B12" s="7">
        <v>83</v>
      </c>
      <c r="E12" t="str">
        <f t="shared" si="0"/>
        <v>Sales Representative</v>
      </c>
      <c r="F12">
        <f>GETPIVOTDATA("CF_attrition count",$A$3,"Job Role","Sales Representative")</f>
        <v>83</v>
      </c>
    </row>
    <row r="13" spans="1:6" x14ac:dyDescent="0.35">
      <c r="A13" s="5" t="s">
        <v>1566</v>
      </c>
      <c r="B13" s="7">
        <v>1470</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E17" sqref="E17"/>
    </sheetView>
  </sheetViews>
  <sheetFormatPr defaultColWidth="10.765625" defaultRowHeight="15.5" x14ac:dyDescent="0.35"/>
  <cols>
    <col min="1" max="1" width="12.3828125" customWidth="1"/>
    <col min="2" max="2" width="23.765625" customWidth="1"/>
    <col min="3" max="3" width="19.3046875" customWidth="1"/>
  </cols>
  <sheetData>
    <row r="3" spans="1:2" x14ac:dyDescent="0.35">
      <c r="A3" s="4" t="s">
        <v>1565</v>
      </c>
      <c r="B3" t="s">
        <v>1567</v>
      </c>
    </row>
    <row r="4" spans="1:2" x14ac:dyDescent="0.35">
      <c r="A4" s="5" t="s">
        <v>69</v>
      </c>
      <c r="B4" s="7">
        <v>554</v>
      </c>
    </row>
    <row r="5" spans="1:2" x14ac:dyDescent="0.35">
      <c r="A5" s="5" t="s">
        <v>46</v>
      </c>
      <c r="B5" s="7">
        <v>505</v>
      </c>
    </row>
    <row r="6" spans="1:2" x14ac:dyDescent="0.35">
      <c r="A6" s="5" t="s">
        <v>58</v>
      </c>
      <c r="B6" s="7">
        <v>245</v>
      </c>
    </row>
    <row r="7" spans="1:2" x14ac:dyDescent="0.35">
      <c r="A7" s="5" t="s">
        <v>92</v>
      </c>
      <c r="B7" s="7">
        <v>97</v>
      </c>
    </row>
    <row r="8" spans="1:2" x14ac:dyDescent="0.35">
      <c r="A8" s="5" t="s">
        <v>75</v>
      </c>
      <c r="B8" s="7">
        <v>69</v>
      </c>
    </row>
    <row r="9" spans="1:2" x14ac:dyDescent="0.35">
      <c r="A9" s="5" t="s">
        <v>1566</v>
      </c>
      <c r="B9" s="7">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J19" sqref="J19"/>
    </sheetView>
  </sheetViews>
  <sheetFormatPr defaultColWidth="10.765625" defaultRowHeight="15.5" x14ac:dyDescent="0.35"/>
  <cols>
    <col min="1" max="1" width="12.3828125" customWidth="1"/>
    <col min="2" max="2" width="23.765625" customWidth="1"/>
    <col min="4" max="4" width="12.921875" customWidth="1"/>
  </cols>
  <sheetData>
    <row r="3" spans="1:5" x14ac:dyDescent="0.35">
      <c r="A3" s="4" t="s">
        <v>1565</v>
      </c>
      <c r="B3" t="s">
        <v>1567</v>
      </c>
      <c r="D3" t="s">
        <v>10</v>
      </c>
      <c r="E3" t="s">
        <v>0</v>
      </c>
    </row>
    <row r="4" spans="1:5" x14ac:dyDescent="0.35">
      <c r="A4" s="5" t="s">
        <v>79</v>
      </c>
      <c r="B4" s="7">
        <v>327</v>
      </c>
      <c r="D4" t="str">
        <f>A4</f>
        <v>Divorced</v>
      </c>
      <c r="E4">
        <f>GETPIVOTDATA("CF_attrition count",$A$3,"Marital Status",A4)</f>
        <v>327</v>
      </c>
    </row>
    <row r="5" spans="1:5" x14ac:dyDescent="0.35">
      <c r="A5" s="5" t="s">
        <v>53</v>
      </c>
      <c r="B5" s="7">
        <v>470</v>
      </c>
      <c r="D5" t="str">
        <f t="shared" ref="D5:D6" si="0">A5</f>
        <v>Single</v>
      </c>
      <c r="E5">
        <f t="shared" ref="E5:E6" si="1">GETPIVOTDATA("CF_attrition count",$A$3,"Marital Status",A5)</f>
        <v>470</v>
      </c>
    </row>
    <row r="6" spans="1:5" x14ac:dyDescent="0.35">
      <c r="A6" s="5" t="s">
        <v>64</v>
      </c>
      <c r="B6" s="7">
        <v>673</v>
      </c>
      <c r="D6" t="str">
        <f t="shared" si="0"/>
        <v>Married</v>
      </c>
      <c r="E6">
        <f t="shared" si="1"/>
        <v>673</v>
      </c>
    </row>
    <row r="7" spans="1:5" x14ac:dyDescent="0.35">
      <c r="A7" s="5" t="s">
        <v>1566</v>
      </c>
      <c r="B7" s="7">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W8"/>
  <sheetViews>
    <sheetView showGridLines="0" tabSelected="1" topLeftCell="A13" zoomScale="50" zoomScaleNormal="50" workbookViewId="0">
      <selection activeCell="Z23" sqref="Z23"/>
    </sheetView>
  </sheetViews>
  <sheetFormatPr defaultColWidth="10.765625" defaultRowHeight="15.5" x14ac:dyDescent="0.35"/>
  <cols>
    <col min="1" max="16384" width="10.765625" style="8"/>
  </cols>
  <sheetData>
    <row r="8" spans="23:23" x14ac:dyDescent="0.35">
      <c r="W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KPI</vt:lpstr>
      <vt:lpstr>Rating</vt:lpstr>
      <vt:lpstr>Employee by Gender</vt:lpstr>
      <vt:lpstr>Education-wise Attrition</vt:lpstr>
      <vt:lpstr>Department-wise Attrition</vt:lpstr>
      <vt:lpstr>Attrition By Job Role</vt:lpstr>
      <vt:lpstr>Attrition By Age-Group</vt:lpstr>
      <vt:lpstr>Attrition By Marriage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Rinky Kumari</cp:lastModifiedBy>
  <dcterms:created xsi:type="dcterms:W3CDTF">2022-12-29T16:02:46Z</dcterms:created>
  <dcterms:modified xsi:type="dcterms:W3CDTF">2026-04-07T11:39:38Z</dcterms:modified>
</cp:coreProperties>
</file>